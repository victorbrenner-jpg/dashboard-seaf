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.brenner\Desktop\"/>
    </mc:Choice>
  </mc:AlternateContent>
  <xr:revisionPtr revIDLastSave="0" documentId="8_{E002FCDC-4D14-4B5A-ADE2-034140FA68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inel" sheetId="3" r:id="rId1"/>
    <sheet name="Resumo Diário" sheetId="1" r:id="rId2"/>
  </sheets>
  <definedNames>
    <definedName name="_xlnm._FilterDatabase" localSheetId="1" hidden="1">'Resumo Diário'!$A$3:$F$103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1" l="1"/>
  <c r="E104" i="1"/>
  <c r="D104" i="1"/>
  <c r="C104" i="1"/>
  <c r="B104" i="1"/>
</calcChain>
</file>

<file path=xl/sharedStrings.xml><?xml version="1.0" encoding="utf-8"?>
<sst xmlns="http://schemas.openxmlformats.org/spreadsheetml/2006/main" count="35" uniqueCount="30">
  <si>
    <t>Data de Referência</t>
  </si>
  <si>
    <t>Qtd. Docs</t>
  </si>
  <si>
    <t>Total Pago</t>
  </si>
  <si>
    <t>Corrente</t>
  </si>
  <si>
    <t>Restos a Pagar (RP)</t>
  </si>
  <si>
    <t>Exercícios Anteriores (DEA)</t>
  </si>
  <si>
    <t>Resumo Gerencial por Dia</t>
  </si>
  <si>
    <t>Todos os credores</t>
  </si>
  <si>
    <t>TOTAL GERAL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</si>
  <si>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</si>
  <si>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</si>
  <si>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</si>
  <si>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</si>
  <si>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</si>
  <si>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</si>
  <si>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</si>
  <si>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</si>
  <si>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</si>
  <si>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</si>
  <si>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Mês</t>
  </si>
  <si>
    <t xml:space="preserve">Corrente </t>
  </si>
  <si>
    <t xml:space="preserve">Restos a Pagar (RP) </t>
  </si>
  <si>
    <t xml:space="preserve">DEA </t>
  </si>
  <si>
    <t xml:space="preserve">Resumo Gerencial </t>
  </si>
  <si>
    <t>0000</t>
  </si>
  <si>
    <t>Marcador</t>
  </si>
  <si>
    <t>Restos a Pagar(RP)</t>
  </si>
  <si>
    <t>Restos Não Processados(RPNP)</t>
  </si>
  <si>
    <t>Valor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</si>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</sst>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B49"/>
        <bgColor indexed="64"/>
      </patternFill>
    </fill>
    <fill>
      <patternFill patternType="solid">
        <fgColor rgb="FF315B8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medium">
        <color rgb="FF002B49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" vertical="center"/>
    </xf>
    <xf numFmtId="14" fontId="0" fillId="0" borderId="0" xfId="0" applyNumberFormat="1"/>
    <xf numFmtId="0" fontId="4" fillId="4" borderId="1" xfId="0" applyFont="1" applyFill="1" applyBorder="1"/>
    <xf numFmtId="3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quotePrefix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Brenner Nascimento Silva" refreshedDate="46279.659904166663" createdVersion="8" refreshedVersion="8" minRefreshableVersion="3" recordCount="100" xr:uid="{A75C0985-706B-4458-B877-7218C1CA3396}">
  <cacheSource type="worksheet">
    <worksheetSource ref="A3:F103" sheet="Resumo Diário"/>
  </cacheSource>
  <cacheFields count="8">
    <cacheField name="Data de Referência" numFmtId="14">
      <sharedItems containsSemiMixedTypes="0" containsNonDate="0" containsDate="1" containsString="0" minDate="2026-01-23T00:00:00" maxDate="2026-09-11T00:00:00" count="100">
        <d v="2026-01-23T00:00:00"/>
        <d v="2026-01-28T00:00:00"/>
        <d v="2026-01-29T00:00:00"/>
        <d v="2026-02-05T00:00:00"/>
        <d v="2026-02-06T00:00:00"/>
        <d v="2026-02-09T00:00:00"/>
        <d v="2026-02-12T00:00:00"/>
        <d v="2026-02-19T00:00:00"/>
        <d v="2026-02-20T00:00:00"/>
        <d v="2026-02-26T00:00:00"/>
        <d v="2026-02-27T00:00:00"/>
        <d v="2026-03-04T00:00:00"/>
        <d v="2026-03-05T00:00:00"/>
        <d v="2026-03-11T00:00:00"/>
        <d v="2026-03-13T00:00:00"/>
        <d v="2026-03-16T00:00:00"/>
        <d v="2026-03-19T00:00:00"/>
        <d v="2026-03-23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7T00:00:00"/>
        <d v="2026-04-08T00:00:00"/>
        <d v="2026-04-09T00:00:00"/>
        <d v="2026-04-14T00:00:00"/>
        <d v="2026-04-15T00:00:00"/>
        <d v="2026-04-16T00:00:00"/>
        <d v="2026-04-17T00:00:00"/>
        <d v="2026-04-22T00:00:00"/>
        <d v="2026-04-23T00:00:00"/>
        <d v="2026-04-24T00:00:00"/>
        <d v="2026-04-27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4T00:00:00"/>
        <d v="2026-05-15T00:00:00"/>
        <d v="2026-05-19T00:00:00"/>
        <d v="2026-05-20T00:00:00"/>
        <d v="2026-05-21T00:00:00"/>
        <d v="2026-05-22T00:00:00"/>
        <d v="2026-05-27T00:00:00"/>
        <d v="2026-05-28T00:00:00"/>
        <d v="2026-05-29T00:00:00"/>
        <d v="2026-06-01T00:00:00"/>
        <d v="2026-06-04T00:00:00"/>
        <d v="2026-06-05T00:00:00"/>
        <d v="2026-06-08T00:00:00"/>
        <d v="2026-06-12T00:00:00"/>
        <d v="2026-06-15T00:00:00"/>
        <d v="2026-06-17T00:00:00"/>
        <d v="2026-06-18T00:00:00"/>
        <d v="2026-06-19T00:00:00"/>
        <d v="2026-06-25T00:00:00"/>
        <d v="2026-06-26T00:00:00"/>
        <d v="2026-06-29T00:00:00"/>
        <d v="2026-06-30T00:00:00"/>
        <d v="2026-07-02T00:00:00"/>
        <d v="2026-07-03T00:00:00"/>
        <d v="2026-07-07T00:00:00"/>
        <d v="2026-07-09T00:00:00"/>
        <d v="2026-07-10T00:00:00"/>
        <d v="2026-07-14T00:00:00"/>
        <d v="2026-07-20T00:00:00"/>
        <d v="2026-07-21T00:00:00"/>
        <d v="2026-07-23T00:00:00"/>
        <d v="2026-07-24T00:00:00"/>
        <d v="2026-07-27T00:00:00"/>
        <d v="2026-07-28T00:00:00"/>
        <d v="2026-07-30T00:00:00"/>
        <d v="2026-07-31T00:00:00"/>
        <d v="2026-08-03T00:00:00"/>
        <d v="2026-08-05T00:00:00"/>
        <d v="2026-08-06T00:00:00"/>
        <d v="2026-08-07T00:00:00"/>
        <d v="2026-08-11T00:00:00"/>
        <d v="2026-08-13T00:00:00"/>
        <d v="2026-08-19T00:00:00"/>
        <d v="2026-08-21T00:00:00"/>
        <d v="2026-08-24T00:00:00"/>
        <d v="2026-08-25T00:00:00"/>
        <d v="2026-08-27T00:00:00"/>
        <d v="2026-08-28T00:00:00"/>
        <d v="2026-08-31T00:00:00"/>
        <d v="2026-09-02T00:00:00"/>
        <d v="2026-09-03T00:00:00"/>
        <d v="2026-09-04T00:00:00"/>
        <d v="2026-09-08T00:00:00"/>
        <d v="2026-09-09T00:00:00"/>
        <d v="2026-09-10T00:00:00"/>
      </sharedItems>
      <fieldGroup par="7"/>
    </cacheField>
    <cacheField name="Qtd. Docs" numFmtId="3">
      <sharedItems containsSemiMixedTypes="0" containsString="0" containsNumber="1" containsInteger="1" minValue="1" maxValue="816"/>
    </cacheField>
    <cacheField name="Total Pago" numFmtId="164">
      <sharedItems containsSemiMixedTypes="0" containsString="0" containsNumber="1" minValue="135.08000000000001" maxValue="30368670.649999999"/>
    </cacheField>
    <cacheField name="Corrente" numFmtId="164">
      <sharedItems containsSemiMixedTypes="0" containsString="0" containsNumber="1" minValue="0" maxValue="24253222.57"/>
    </cacheField>
    <cacheField name="Restos a Pagar (RP)" numFmtId="164">
      <sharedItems containsSemiMixedTypes="0" containsString="0" containsNumber="1" minValue="0" maxValue="17255863.949999999" count="37">
        <n v="0"/>
        <n v="918017.55999999994"/>
        <n v="184982.06"/>
        <n v="2558539.85"/>
        <n v="10264.73"/>
        <n v="21315"/>
        <n v="511916.27"/>
        <n v="370184.75"/>
        <n v="1198503.18"/>
        <n v="3666046.35"/>
        <n v="93887.46"/>
        <n v="720"/>
        <n v="19139.009999999998"/>
        <n v="12129.28"/>
        <n v="8017.8"/>
        <n v="23533.86"/>
        <n v="6661.94"/>
        <n v="408492.29"/>
        <n v="54125.24"/>
        <n v="1520734.59"/>
        <n v="54900"/>
        <n v="17255863.949999999"/>
        <n v="194132.67"/>
        <n v="1078182.45"/>
        <n v="863181.7699999999"/>
        <n v="998826.94"/>
        <n v="26098.94"/>
        <n v="730003.38"/>
        <n v="728361.98"/>
        <n v="84478.67"/>
        <n v="1011156.6"/>
        <n v="397617.77"/>
        <n v="31723.08"/>
        <n v="828178.87"/>
        <n v="595006.13"/>
        <n v="6229.87"/>
        <n v="42811.539999999994"/>
      </sharedItems>
    </cacheField>
    <cacheField name="Exercícios Anteriores (DEA)" numFmtId="164">
      <sharedItems containsSemiMixedTypes="0" containsString="0" containsNumber="1" minValue="0" maxValue="15315119.84"/>
    </cacheField>
    <cacheField name="Dias (Data de Referência)" numFmtId="0" databaseField="0">
      <fieldGroup base="0">
        <rangePr groupBy="days" startDate="2026-01-23T00:00:00" endDate="2026-09-11T00:00:00"/>
        <groupItems count="368">
          <s v="&lt;23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1/09/2026"/>
        </groupItems>
      </fieldGroup>
    </cacheField>
    <cacheField name="Meses (Data de Referência)" numFmtId="0" databaseField="0">
      <fieldGroup base="0">
        <rangePr groupBy="months" startDate="2026-01-23T00:00:00" endDate="2026-09-11T00:00:00"/>
        <groupItems count="14">
          <s v="&lt;23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81"/>
    <n v="7918103.5999999996"/>
    <n v="7918103.5999999996"/>
    <x v="0"/>
    <n v="0"/>
  </r>
  <r>
    <x v="1"/>
    <n v="2"/>
    <n v="2051.29"/>
    <n v="2051.29"/>
    <x v="0"/>
    <n v="0"/>
  </r>
  <r>
    <x v="2"/>
    <n v="2"/>
    <n v="1331141.25"/>
    <n v="1331141.25"/>
    <x v="0"/>
    <n v="0"/>
  </r>
  <r>
    <x v="3"/>
    <n v="187"/>
    <n v="15950504.039999999"/>
    <n v="15032486.48"/>
    <x v="1"/>
    <n v="0"/>
  </r>
  <r>
    <x v="4"/>
    <n v="163"/>
    <n v="1902252.01"/>
    <n v="1902252.01"/>
    <x v="0"/>
    <n v="0"/>
  </r>
  <r>
    <x v="5"/>
    <n v="82"/>
    <n v="8733759.5500000007"/>
    <n v="8733759.5500000007"/>
    <x v="0"/>
    <n v="0"/>
  </r>
  <r>
    <x v="6"/>
    <n v="123"/>
    <n v="4906473.83"/>
    <n v="4721491.7699999996"/>
    <x v="2"/>
    <n v="0"/>
  </r>
  <r>
    <x v="7"/>
    <n v="2"/>
    <n v="69149.2"/>
    <n v="69149.2"/>
    <x v="0"/>
    <n v="0"/>
  </r>
  <r>
    <x v="8"/>
    <n v="153"/>
    <n v="2689690.98"/>
    <n v="131151.13"/>
    <x v="3"/>
    <n v="0"/>
  </r>
  <r>
    <x v="9"/>
    <n v="4"/>
    <n v="10569.17"/>
    <n v="304.44000000000011"/>
    <x v="4"/>
    <n v="0"/>
  </r>
  <r>
    <x v="10"/>
    <n v="3"/>
    <n v="1652214.5"/>
    <n v="1630899.5"/>
    <x v="5"/>
    <n v="0"/>
  </r>
  <r>
    <x v="11"/>
    <n v="291"/>
    <n v="5583894.9100000001"/>
    <n v="5071978.6399999997"/>
    <x v="6"/>
    <n v="0"/>
  </r>
  <r>
    <x v="12"/>
    <n v="186"/>
    <n v="12066206.800000001"/>
    <n v="9127451.4900000002"/>
    <x v="7"/>
    <n v="2568570.56"/>
  </r>
  <r>
    <x v="13"/>
    <n v="258"/>
    <n v="17577927.82"/>
    <n v="13372790.119999999"/>
    <x v="8"/>
    <n v="3006634.52"/>
  </r>
  <r>
    <x v="14"/>
    <n v="1"/>
    <n v="3098.24"/>
    <n v="3098.24"/>
    <x v="0"/>
    <n v="0"/>
  </r>
  <r>
    <x v="15"/>
    <n v="2"/>
    <n v="135.08000000000001"/>
    <n v="135.08000000000001"/>
    <x v="0"/>
    <n v="0"/>
  </r>
  <r>
    <x v="16"/>
    <n v="294"/>
    <n v="12129575.1"/>
    <n v="5165991.8600000003"/>
    <x v="9"/>
    <n v="3297536.89"/>
  </r>
  <r>
    <x v="17"/>
    <n v="34"/>
    <n v="1992896.47"/>
    <n v="1992896.47"/>
    <x v="0"/>
    <n v="0"/>
  </r>
  <r>
    <x v="18"/>
    <n v="244"/>
    <n v="8356578.3200000003"/>
    <n v="7521614.0599999996"/>
    <x v="10"/>
    <n v="741076.79999999993"/>
  </r>
  <r>
    <x v="19"/>
    <n v="2"/>
    <n v="7220"/>
    <n v="6500"/>
    <x v="11"/>
    <n v="0"/>
  </r>
  <r>
    <x v="20"/>
    <n v="4"/>
    <n v="89358.81"/>
    <n v="70219.8"/>
    <x v="12"/>
    <n v="0"/>
  </r>
  <r>
    <x v="21"/>
    <n v="1"/>
    <n v="12129.28"/>
    <n v="0"/>
    <x v="13"/>
    <n v="0"/>
  </r>
  <r>
    <x v="22"/>
    <n v="8"/>
    <n v="1808677.25"/>
    <n v="1800659.45"/>
    <x v="14"/>
    <n v="0"/>
  </r>
  <r>
    <x v="23"/>
    <n v="81"/>
    <n v="1834351.75"/>
    <n v="443429.45"/>
    <x v="15"/>
    <n v="1367388.44"/>
  </r>
  <r>
    <x v="24"/>
    <n v="429"/>
    <n v="20233061"/>
    <n v="20233061"/>
    <x v="0"/>
    <n v="0"/>
  </r>
  <r>
    <x v="25"/>
    <n v="40"/>
    <n v="6791545.3600000003"/>
    <n v="6791545.3600000003"/>
    <x v="0"/>
    <n v="0"/>
  </r>
  <r>
    <x v="26"/>
    <n v="11"/>
    <n v="1239011.83"/>
    <n v="242980.57"/>
    <x v="0"/>
    <n v="996031.26"/>
  </r>
  <r>
    <x v="27"/>
    <n v="11"/>
    <n v="45140"/>
    <n v="45140"/>
    <x v="0"/>
    <n v="0"/>
  </r>
  <r>
    <x v="28"/>
    <n v="193"/>
    <n v="9176417.5099999998"/>
    <n v="9176417.5099999998"/>
    <x v="0"/>
    <n v="0"/>
  </r>
  <r>
    <x v="29"/>
    <n v="3"/>
    <n v="236263.94"/>
    <n v="236263.94"/>
    <x v="0"/>
    <n v="0"/>
  </r>
  <r>
    <x v="30"/>
    <n v="166"/>
    <n v="7084765.4500000002"/>
    <n v="7017920.1299999999"/>
    <x v="16"/>
    <n v="60183.38"/>
  </r>
  <r>
    <x v="31"/>
    <n v="350"/>
    <n v="5132182.9800000004"/>
    <n v="4231773.7300000004"/>
    <x v="17"/>
    <n v="491916.96"/>
  </r>
  <r>
    <x v="32"/>
    <n v="83"/>
    <n v="832910.75"/>
    <n v="832910.75"/>
    <x v="0"/>
    <n v="0"/>
  </r>
  <r>
    <x v="33"/>
    <n v="1"/>
    <n v="2329.6"/>
    <n v="2329.6"/>
    <x v="0"/>
    <n v="0"/>
  </r>
  <r>
    <x v="34"/>
    <n v="95"/>
    <n v="6072379.5600000015"/>
    <n v="5473296.29"/>
    <x v="18"/>
    <n v="544958.03"/>
  </r>
  <r>
    <x v="35"/>
    <n v="229"/>
    <n v="45700"/>
    <n v="45700"/>
    <x v="0"/>
    <n v="0"/>
  </r>
  <r>
    <x v="36"/>
    <n v="6"/>
    <n v="2160"/>
    <n v="2160"/>
    <x v="0"/>
    <n v="0"/>
  </r>
  <r>
    <x v="37"/>
    <n v="57"/>
    <n v="8143980.5599999996"/>
    <n v="4758373.93"/>
    <x v="19"/>
    <n v="1864872.04"/>
  </r>
  <r>
    <x v="38"/>
    <n v="8"/>
    <n v="458134.29"/>
    <n v="118531.58"/>
    <x v="0"/>
    <n v="339602.71"/>
  </r>
  <r>
    <x v="39"/>
    <n v="4"/>
    <n v="4358813.57"/>
    <n v="4358813.57"/>
    <x v="0"/>
    <n v="0"/>
  </r>
  <r>
    <x v="40"/>
    <n v="281"/>
    <n v="13294853.85"/>
    <n v="13294853.85"/>
    <x v="0"/>
    <n v="0"/>
  </r>
  <r>
    <x v="41"/>
    <n v="24"/>
    <n v="1593843.73"/>
    <n v="1593843.73"/>
    <x v="0"/>
    <n v="0"/>
  </r>
  <r>
    <x v="42"/>
    <n v="99"/>
    <n v="9817208.8300000001"/>
    <n v="9817208.8300000001"/>
    <x v="0"/>
    <n v="0"/>
  </r>
  <r>
    <x v="43"/>
    <n v="3"/>
    <n v="6446.5"/>
    <n v="6446.5"/>
    <x v="0"/>
    <n v="0"/>
  </r>
  <r>
    <x v="44"/>
    <n v="1"/>
    <n v="2626.05"/>
    <n v="2626.05"/>
    <x v="0"/>
    <n v="0"/>
  </r>
  <r>
    <x v="45"/>
    <n v="470"/>
    <n v="7087126.8499999996"/>
    <n v="6257103.0499999998"/>
    <x v="20"/>
    <n v="775123.8"/>
  </r>
  <r>
    <x v="46"/>
    <n v="3"/>
    <n v="141938.5"/>
    <n v="141938.5"/>
    <x v="0"/>
    <n v="0"/>
  </r>
  <r>
    <x v="47"/>
    <n v="152"/>
    <n v="2514289.14"/>
    <n v="2514289.14"/>
    <x v="0"/>
    <n v="0"/>
  </r>
  <r>
    <x v="48"/>
    <n v="2"/>
    <n v="135.08000000000001"/>
    <n v="135.08000000000001"/>
    <x v="0"/>
    <n v="0"/>
  </r>
  <r>
    <x v="49"/>
    <n v="324"/>
    <n v="30368670.649999999"/>
    <n v="12317989.859999999"/>
    <x v="21"/>
    <n v="794816.84"/>
  </r>
  <r>
    <x v="50"/>
    <n v="286"/>
    <n v="2785922.28"/>
    <n v="2509251.16"/>
    <x v="22"/>
    <n v="82538.45"/>
  </r>
  <r>
    <x v="51"/>
    <n v="7"/>
    <n v="1443903.43"/>
    <n v="0"/>
    <x v="0"/>
    <n v="1443903.43"/>
  </r>
  <r>
    <x v="52"/>
    <n v="11"/>
    <n v="1213099.6499999999"/>
    <n v="44770.89"/>
    <x v="23"/>
    <n v="90146.31"/>
  </r>
  <r>
    <x v="53"/>
    <n v="131"/>
    <n v="21284260.559999999"/>
    <n v="5105958.95"/>
    <x v="24"/>
    <n v="15315119.84"/>
  </r>
  <r>
    <x v="54"/>
    <n v="12"/>
    <n v="1712697.69"/>
    <n v="0"/>
    <x v="0"/>
    <n v="1712697.69"/>
  </r>
  <r>
    <x v="55"/>
    <n v="384"/>
    <n v="24260605.739999998"/>
    <n v="24253222.57"/>
    <x v="0"/>
    <n v="7383.17"/>
  </r>
  <r>
    <x v="56"/>
    <n v="1"/>
    <n v="5420"/>
    <n v="5420"/>
    <x v="0"/>
    <n v="0"/>
  </r>
  <r>
    <x v="57"/>
    <n v="2"/>
    <n v="7220"/>
    <n v="6500"/>
    <x v="11"/>
    <n v="0"/>
  </r>
  <r>
    <x v="58"/>
    <n v="457"/>
    <n v="8421841.6600000001"/>
    <n v="7423014.7199999997"/>
    <x v="25"/>
    <n v="0"/>
  </r>
  <r>
    <x v="59"/>
    <n v="3"/>
    <n v="3135.08"/>
    <n v="3135.08"/>
    <x v="0"/>
    <n v="0"/>
  </r>
  <r>
    <x v="60"/>
    <n v="1"/>
    <n v="840"/>
    <n v="840"/>
    <x v="0"/>
    <n v="0"/>
  </r>
  <r>
    <x v="61"/>
    <n v="150"/>
    <n v="811639.46"/>
    <n v="811639.46"/>
    <x v="0"/>
    <n v="0"/>
  </r>
  <r>
    <x v="62"/>
    <n v="312"/>
    <n v="8352117.0199999996"/>
    <n v="8118408.2699999996"/>
    <x v="26"/>
    <n v="207609.81"/>
  </r>
  <r>
    <x v="63"/>
    <n v="13"/>
    <n v="495408.73"/>
    <n v="495408.73"/>
    <x v="0"/>
    <n v="0"/>
  </r>
  <r>
    <x v="64"/>
    <n v="90"/>
    <n v="7114868.7000000002"/>
    <n v="5141617.29"/>
    <x v="27"/>
    <n v="1243248.03"/>
  </r>
  <r>
    <x v="65"/>
    <n v="2"/>
    <n v="1183181.74"/>
    <n v="1183181.74"/>
    <x v="0"/>
    <n v="0"/>
  </r>
  <r>
    <x v="66"/>
    <n v="19"/>
    <n v="4097310.98"/>
    <n v="3475686.97"/>
    <x v="0"/>
    <n v="621624.01"/>
  </r>
  <r>
    <x v="67"/>
    <n v="203"/>
    <n v="3282157.15"/>
    <n v="2538237.37"/>
    <x v="28"/>
    <n v="15557.8"/>
  </r>
  <r>
    <x v="68"/>
    <n v="418"/>
    <n v="12203392.23"/>
    <n v="12203392.23"/>
    <x v="0"/>
    <n v="0"/>
  </r>
  <r>
    <x v="69"/>
    <n v="149"/>
    <n v="3604639.3"/>
    <n v="3475329.85"/>
    <x v="0"/>
    <n v="129309.45"/>
  </r>
  <r>
    <x v="70"/>
    <n v="87"/>
    <n v="2273916.65"/>
    <n v="1981980.4"/>
    <x v="29"/>
    <n v="207457.58"/>
  </r>
  <r>
    <x v="71"/>
    <n v="34"/>
    <n v="3537174.83"/>
    <n v="3537174.83"/>
    <x v="0"/>
    <n v="0"/>
  </r>
  <r>
    <x v="72"/>
    <n v="66"/>
    <n v="6394125.7699999996"/>
    <n v="6394125.7699999996"/>
    <x v="0"/>
    <n v="0"/>
  </r>
  <r>
    <x v="73"/>
    <n v="816"/>
    <n v="14105634.76"/>
    <n v="6362801.1600000001"/>
    <x v="30"/>
    <n v="6731677"/>
  </r>
  <r>
    <x v="74"/>
    <n v="41"/>
    <n v="3739940.27"/>
    <n v="26114.46"/>
    <x v="0"/>
    <n v="3713825.81"/>
  </r>
  <r>
    <x v="75"/>
    <n v="240"/>
    <n v="9760443.0500000007"/>
    <n v="7168534.8300000001"/>
    <x v="31"/>
    <n v="2194290.4500000002"/>
  </r>
  <r>
    <x v="76"/>
    <n v="2"/>
    <n v="266885.08"/>
    <n v="266885.08"/>
    <x v="0"/>
    <n v="0"/>
  </r>
  <r>
    <x v="77"/>
    <n v="1"/>
    <n v="3000"/>
    <n v="3000"/>
    <x v="0"/>
    <n v="0"/>
  </r>
  <r>
    <x v="78"/>
    <n v="70"/>
    <n v="2228711.4700000002"/>
    <n v="2209691.96"/>
    <x v="0"/>
    <n v="19019.509999999998"/>
  </r>
  <r>
    <x v="79"/>
    <n v="90"/>
    <n v="7135468.3499999996"/>
    <n v="4918420.32"/>
    <x v="0"/>
    <n v="2217048.0299999998"/>
  </r>
  <r>
    <x v="80"/>
    <n v="9"/>
    <n v="1204946.6000000001"/>
    <n v="1204946.6000000001"/>
    <x v="0"/>
    <n v="0"/>
  </r>
  <r>
    <x v="81"/>
    <n v="2"/>
    <n v="269808.98"/>
    <n v="269808.98"/>
    <x v="0"/>
    <n v="0"/>
  </r>
  <r>
    <x v="82"/>
    <n v="283"/>
    <n v="15903811.77"/>
    <n v="15903811.77"/>
    <x v="0"/>
    <n v="0"/>
  </r>
  <r>
    <x v="83"/>
    <n v="89"/>
    <n v="9818691.1300000008"/>
    <n v="9818691.1300000008"/>
    <x v="0"/>
    <n v="0"/>
  </r>
  <r>
    <x v="84"/>
    <n v="3"/>
    <n v="20202.62"/>
    <n v="20202.62"/>
    <x v="0"/>
    <n v="0"/>
  </r>
  <r>
    <x v="85"/>
    <n v="1"/>
    <n v="3138.59"/>
    <n v="3138.59"/>
    <x v="0"/>
    <n v="0"/>
  </r>
  <r>
    <x v="86"/>
    <n v="535"/>
    <n v="11605980.35"/>
    <n v="11574257.27"/>
    <x v="32"/>
    <n v="0"/>
  </r>
  <r>
    <x v="87"/>
    <n v="680"/>
    <n v="24802186.710000001"/>
    <n v="10767607.689999999"/>
    <x v="33"/>
    <n v="13206400.15"/>
  </r>
  <r>
    <x v="88"/>
    <n v="25"/>
    <n v="1489391.61"/>
    <n v="1489391.61"/>
    <x v="0"/>
    <n v="0"/>
  </r>
  <r>
    <x v="89"/>
    <n v="2"/>
    <n v="1100"/>
    <n v="1100"/>
    <x v="0"/>
    <n v="0"/>
  </r>
  <r>
    <x v="90"/>
    <n v="2"/>
    <n v="38278.019999999997"/>
    <n v="38278.019999999997"/>
    <x v="0"/>
    <n v="0"/>
  </r>
  <r>
    <x v="91"/>
    <n v="90"/>
    <n v="6171774.8499999996"/>
    <n v="3510839.36"/>
    <x v="34"/>
    <n v="2065929.36"/>
  </r>
  <r>
    <x v="92"/>
    <n v="56"/>
    <n v="181635.08"/>
    <n v="112230.78"/>
    <x v="35"/>
    <n v="63174.43"/>
  </r>
  <r>
    <x v="93"/>
    <n v="3"/>
    <n v="1398484.42"/>
    <n v="1398484.42"/>
    <x v="0"/>
    <n v="0"/>
  </r>
  <r>
    <x v="94"/>
    <n v="23"/>
    <n v="11924611.24"/>
    <n v="11924611.24"/>
    <x v="0"/>
    <n v="0"/>
  </r>
  <r>
    <x v="95"/>
    <n v="451"/>
    <n v="5630615.9199999999"/>
    <n v="5630615.9199999999"/>
    <x v="0"/>
    <n v="0"/>
  </r>
  <r>
    <x v="96"/>
    <n v="11"/>
    <n v="156019.13"/>
    <n v="156019.13"/>
    <x v="0"/>
    <n v="0"/>
  </r>
  <r>
    <x v="97"/>
    <n v="1"/>
    <n v="2240.0100000000002"/>
    <n v="2240.0100000000002"/>
    <x v="0"/>
    <n v="0"/>
  </r>
  <r>
    <x v="98"/>
    <n v="90"/>
    <n v="9884330.5800000001"/>
    <n v="9884330.5800000001"/>
    <x v="0"/>
    <n v="0"/>
  </r>
  <r>
    <x v="99"/>
    <n v="93"/>
    <n v="3973242.06"/>
    <n v="3376948.85"/>
    <x v="36"/>
    <n v="553481.66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63E6C-4E94-4B6C-A109-5D7A92D7593F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ês">
  <location ref="A3:D13" firstHeaderRow="0" firstDataRow="1" firstDataCol="1"/>
  <pivotFields count="8"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3" showAll="0"/>
    <pivotField numFmtId="164" showAll="0"/>
    <pivotField dataField="1" numFmtId="164" showAll="0"/>
    <pivotField dataField="1" numFmtId="164" showAll="0">
      <items count="38">
        <item x="0"/>
        <item x="11"/>
        <item x="35"/>
        <item x="16"/>
        <item x="14"/>
        <item x="4"/>
        <item x="13"/>
        <item x="12"/>
        <item x="5"/>
        <item x="15"/>
        <item x="26"/>
        <item x="32"/>
        <item x="36"/>
        <item x="18"/>
        <item x="20"/>
        <item x="29"/>
        <item x="10"/>
        <item x="2"/>
        <item x="22"/>
        <item x="7"/>
        <item x="31"/>
        <item x="17"/>
        <item x="6"/>
        <item x="34"/>
        <item x="28"/>
        <item x="27"/>
        <item x="33"/>
        <item x="24"/>
        <item x="1"/>
        <item x="25"/>
        <item x="30"/>
        <item x="23"/>
        <item x="8"/>
        <item x="19"/>
        <item x="3"/>
        <item x="9"/>
        <item x="21"/>
        <item t="default"/>
      </items>
    </pivotField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rrente " fld="3" baseField="7" baseItem="1" numFmtId="164"/>
    <dataField name="Restos a Pagar (RP) " fld="4" baseField="7" baseItem="1" numFmtId="164"/>
    <dataField name="DEA " fld="5" baseField="7" baseItem="1" numFmtId="164"/>
  </dataFields>
  <formats count="6">
    <format dxfId="5">
      <pivotArea field="7" type="button" dataOnly="0" labelOnly="1" outline="0" axis="axisRow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">
      <pivotArea dataOnly="0" labelOnly="1" fieldPosition="0">
        <references count="1">
          <reference field="7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47A3-A3C5-4759-81ED-A2BB14D377E2}">
  <dimension ref="A1:D26"/>
  <sheetViews>
    <sheetView showGridLines="0" tabSelected="1" workbookViewId="0">
      <selection activeCell="I20" sqref="I20"/>
    </sheetView>
  </sheetViews>
  <sheetFormatPr defaultRowHeight="15" x14ac:dyDescent="0.25"/>
  <cols>
    <col min="1" max="1" width="29.28515625" customWidth="1"/>
    <col min="2" max="2" width="23.7109375" customWidth="1"/>
    <col min="3" max="3" width="22.85546875" customWidth="1"/>
    <col min="4" max="4" width="21" customWidth="1"/>
    <col min="5" max="16" width="11.7109375" bestFit="1" customWidth="1"/>
    <col min="17" max="29" width="12.7109375" bestFit="1" customWidth="1"/>
    <col min="30" max="35" width="14.42578125" bestFit="1" customWidth="1"/>
    <col min="36" max="36" width="15.42578125" bestFit="1" customWidth="1"/>
    <col min="37" max="37" width="10.7109375" bestFit="1" customWidth="1"/>
  </cols>
  <sheetData>
    <row r="1" spans="1:4" ht="18.75" x14ac:dyDescent="0.25">
      <c r="A1" s="8" t="s">
        <v>23</v>
      </c>
      <c r="B1" s="8"/>
      <c r="C1" s="8"/>
      <c r="D1" s="8"/>
    </row>
    <row r="3" spans="1:4" x14ac:dyDescent="0.25">
      <c r="A3" s="11" t="s">
        <v>19</v>
      </c>
      <c r="B3" s="13" t="s">
        <v>20</v>
      </c>
      <c r="C3" s="13" t="s">
        <v>21</v>
      </c>
      <c r="D3" s="13" t="s">
        <v>22</v>
      </c>
    </row>
    <row r="4" spans="1:4" x14ac:dyDescent="0.25">
      <c r="A4" s="13" t="s">
        <v>10</v>
      </c>
      <c r="B4" s="14">
        <v>9251296.1400000006</v>
      </c>
      <c r="C4" s="14">
        <v>0</v>
      </c>
      <c r="D4" s="14">
        <v>0</v>
      </c>
    </row>
    <row r="5" spans="1:4" x14ac:dyDescent="0.25">
      <c r="A5" s="13" t="s">
        <v>11</v>
      </c>
      <c r="B5" s="14">
        <v>32221494.080000002</v>
      </c>
      <c r="C5" s="14">
        <v>3693119.1999999997</v>
      </c>
      <c r="D5" s="14">
        <v>0</v>
      </c>
    </row>
    <row r="6" spans="1:4" x14ac:dyDescent="0.25">
      <c r="A6" s="13" t="s">
        <v>12</v>
      </c>
      <c r="B6" s="14">
        <v>44133335.210000001</v>
      </c>
      <c r="C6" s="14">
        <v>5880544.0999999996</v>
      </c>
      <c r="D6" s="14">
        <v>9613818.7700000014</v>
      </c>
    </row>
    <row r="7" spans="1:4" x14ac:dyDescent="0.25">
      <c r="A7" s="13" t="s">
        <v>13</v>
      </c>
      <c r="B7" s="14">
        <v>59533302.259999998</v>
      </c>
      <c r="C7" s="14">
        <v>2013547.92</v>
      </c>
      <c r="D7" s="14">
        <v>5325350.1100000003</v>
      </c>
    </row>
    <row r="8" spans="1:4" x14ac:dyDescent="0.25">
      <c r="A8" s="13" t="s">
        <v>14</v>
      </c>
      <c r="B8" s="14">
        <v>58083760.74000001</v>
      </c>
      <c r="C8" s="14">
        <v>19446260.84</v>
      </c>
      <c r="D8" s="14">
        <v>18841251.379999999</v>
      </c>
    </row>
    <row r="9" spans="1:4" x14ac:dyDescent="0.25">
      <c r="A9" s="13" t="s">
        <v>15</v>
      </c>
      <c r="B9" s="14">
        <v>50918074.829999991</v>
      </c>
      <c r="C9" s="14">
        <v>1755649.2599999998</v>
      </c>
      <c r="D9" s="14">
        <v>3792562.71</v>
      </c>
    </row>
    <row r="10" spans="1:4" x14ac:dyDescent="0.25">
      <c r="A10" s="13" t="s">
        <v>16</v>
      </c>
      <c r="B10" s="14">
        <v>52290634.859999999</v>
      </c>
      <c r="C10" s="14">
        <v>2221615.02</v>
      </c>
      <c r="D10" s="14">
        <v>15228185.629999999</v>
      </c>
    </row>
    <row r="11" spans="1:4" x14ac:dyDescent="0.25">
      <c r="A11" s="13" t="s">
        <v>17</v>
      </c>
      <c r="B11" s="14">
        <v>54907842.240000002</v>
      </c>
      <c r="C11" s="14">
        <v>1461137.9500000002</v>
      </c>
      <c r="D11" s="14">
        <v>15335503.939999999</v>
      </c>
    </row>
    <row r="12" spans="1:4" x14ac:dyDescent="0.25">
      <c r="A12" s="13" t="s">
        <v>18</v>
      </c>
      <c r="B12" s="14">
        <v>30974765.730000004</v>
      </c>
      <c r="C12" s="14">
        <v>42811.539999999994</v>
      </c>
      <c r="D12" s="14">
        <v>553481.66999999993</v>
      </c>
    </row>
    <row r="13" spans="1:4" x14ac:dyDescent="0.25">
      <c r="A13" s="10" t="s">
        <v>9</v>
      </c>
      <c r="B13" s="14">
        <v>392314506.09000003</v>
      </c>
      <c r="C13" s="14">
        <v>36514685.830000006</v>
      </c>
      <c r="D13" s="14">
        <v>68690154.210000008</v>
      </c>
    </row>
    <row r="16" spans="1:4" x14ac:dyDescent="0.25">
      <c r="A16" s="16" t="s">
        <v>25</v>
      </c>
      <c r="B16" s="16" t="s">
        <v>20</v>
      </c>
      <c r="C16" s="16" t="s">
        <v>21</v>
      </c>
      <c r="D16" s="16" t="s">
        <v>22</v>
      </c>
    </row>
    <row r="17" spans="1:4" x14ac:dyDescent="0.25">
      <c r="A17" s="15" t="s">
        <v>24</v>
      </c>
    </row>
    <row r="18" spans="1:4" x14ac:dyDescent="0.25">
      <c r="A18" s="12">
        <v>1001</v>
      </c>
    </row>
    <row r="19" spans="1:4" x14ac:dyDescent="0.25">
      <c r="A19" s="17" t="s">
        <v>9</v>
      </c>
      <c r="B19" s="17"/>
      <c r="C19" s="17"/>
      <c r="D19" s="17"/>
    </row>
    <row r="21" spans="1:4" x14ac:dyDescent="0.25">
      <c r="A21" s="16" t="s">
        <v>29</v>
      </c>
      <c r="B21" s="16" t="s">
        <v>28</v>
      </c>
    </row>
    <row r="22" spans="1:4" x14ac:dyDescent="0.25">
      <c r="A22" s="15" t="s">
        <v>26</v>
      </c>
    </row>
    <row r="23" spans="1:4" x14ac:dyDescent="0.25">
      <c r="A23" s="12" t="s">
        <v>27</v>
      </c>
    </row>
    <row r="24" spans="1:4" x14ac:dyDescent="0.25">
      <c r="A24" s="17" t="s">
        <v>9</v>
      </c>
      <c r="B24" s="17"/>
    </row>
    <row r="26" spans="1:4" ht="18.75" x14ac:dyDescent="0.25">
      <c r="A26" s="8"/>
      <c r="B26" s="8"/>
      <c r="C26" s="8"/>
      <c r="D26" s="8"/>
    </row>
  </sheetData>
  <mergeCells count="2">
    <mergeCell ref="A1:D1"/>
    <mergeCell ref="A26:D2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showGridLines="0" workbookViewId="0">
      <pane ySplit="3" topLeftCell="A73" activePane="bottomLeft" state="frozen"/>
      <selection pane="bottomLeft" activeCell="M87" sqref="M87"/>
    </sheetView>
  </sheetViews>
  <sheetFormatPr defaultRowHeight="15" x14ac:dyDescent="0.25"/>
  <cols>
    <col min="1" max="1" width="20.7109375" customWidth="1"/>
    <col min="2" max="2" width="14.7109375" style="1" customWidth="1"/>
    <col min="3" max="6" width="24.7109375" style="2" customWidth="1"/>
  </cols>
  <sheetData>
    <row r="1" spans="1:6" ht="24" customHeight="1" x14ac:dyDescent="0.25">
      <c r="A1" s="8" t="s">
        <v>6</v>
      </c>
      <c r="B1" s="8"/>
      <c r="C1" s="8"/>
      <c r="D1" s="8"/>
      <c r="E1" s="8"/>
      <c r="F1" s="8"/>
    </row>
    <row r="2" spans="1:6" ht="24" customHeight="1" x14ac:dyDescent="0.25">
      <c r="A2" s="9" t="s">
        <v>7</v>
      </c>
      <c r="B2" s="9"/>
      <c r="C2" s="9"/>
      <c r="D2" s="9"/>
      <c r="E2" s="9"/>
      <c r="F2" s="9"/>
    </row>
    <row r="3" spans="1:6" ht="21.9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5">
      <c r="A4" s="4">
        <v>46045</v>
      </c>
      <c r="B4" s="1">
        <v>81</v>
      </c>
      <c r="C4" s="2">
        <v>7918103.5999999996</v>
      </c>
      <c r="D4" s="2">
        <v>7918103.5999999996</v>
      </c>
      <c r="E4" s="2">
        <v>0</v>
      </c>
      <c r="F4" s="2">
        <v>0</v>
      </c>
    </row>
    <row r="5" spans="1:6" x14ac:dyDescent="0.25">
      <c r="A5" s="4">
        <v>46050</v>
      </c>
      <c r="B5" s="1">
        <v>2</v>
      </c>
      <c r="C5" s="2">
        <v>2051.29</v>
      </c>
      <c r="D5" s="2">
        <v>2051.29</v>
      </c>
      <c r="E5" s="2">
        <v>0</v>
      </c>
      <c r="F5" s="2">
        <v>0</v>
      </c>
    </row>
    <row r="6" spans="1:6" x14ac:dyDescent="0.25">
      <c r="A6" s="4">
        <v>46051</v>
      </c>
      <c r="B6" s="1">
        <v>2</v>
      </c>
      <c r="C6" s="2">
        <v>1331141.25</v>
      </c>
      <c r="D6" s="2">
        <v>1331141.25</v>
      </c>
      <c r="E6" s="2">
        <v>0</v>
      </c>
      <c r="F6" s="2">
        <v>0</v>
      </c>
    </row>
    <row r="7" spans="1:6" x14ac:dyDescent="0.25">
      <c r="A7" s="4">
        <v>46058</v>
      </c>
      <c r="B7" s="1">
        <v>187</v>
      </c>
      <c r="C7" s="2">
        <v>15950504.039999999</v>
      </c>
      <c r="D7" s="2">
        <v>15032486.48</v>
      </c>
      <c r="E7" s="2">
        <v>918017.55999999994</v>
      </c>
      <c r="F7" s="2">
        <v>0</v>
      </c>
    </row>
    <row r="8" spans="1:6" x14ac:dyDescent="0.25">
      <c r="A8" s="4">
        <v>46059</v>
      </c>
      <c r="B8" s="1">
        <v>163</v>
      </c>
      <c r="C8" s="2">
        <v>1902252.01</v>
      </c>
      <c r="D8" s="2">
        <v>1902252.01</v>
      </c>
      <c r="E8" s="2">
        <v>0</v>
      </c>
      <c r="F8" s="2">
        <v>0</v>
      </c>
    </row>
    <row r="9" spans="1:6" x14ac:dyDescent="0.25">
      <c r="A9" s="4">
        <v>46062</v>
      </c>
      <c r="B9" s="1">
        <v>82</v>
      </c>
      <c r="C9" s="2">
        <v>8733759.5500000007</v>
      </c>
      <c r="D9" s="2">
        <v>8733759.5500000007</v>
      </c>
      <c r="E9" s="2">
        <v>0</v>
      </c>
      <c r="F9" s="2">
        <v>0</v>
      </c>
    </row>
    <row r="10" spans="1:6" x14ac:dyDescent="0.25">
      <c r="A10" s="4">
        <v>46065</v>
      </c>
      <c r="B10" s="1">
        <v>123</v>
      </c>
      <c r="C10" s="2">
        <v>4906473.83</v>
      </c>
      <c r="D10" s="2">
        <v>4721491.7699999996</v>
      </c>
      <c r="E10" s="2">
        <v>184982.06</v>
      </c>
      <c r="F10" s="2">
        <v>0</v>
      </c>
    </row>
    <row r="11" spans="1:6" x14ac:dyDescent="0.25">
      <c r="A11" s="4">
        <v>46072</v>
      </c>
      <c r="B11" s="1">
        <v>2</v>
      </c>
      <c r="C11" s="2">
        <v>69149.2</v>
      </c>
      <c r="D11" s="2">
        <v>69149.2</v>
      </c>
      <c r="E11" s="2">
        <v>0</v>
      </c>
      <c r="F11" s="2">
        <v>0</v>
      </c>
    </row>
    <row r="12" spans="1:6" x14ac:dyDescent="0.25">
      <c r="A12" s="4">
        <v>46073</v>
      </c>
      <c r="B12" s="1">
        <v>153</v>
      </c>
      <c r="C12" s="2">
        <v>2689690.98</v>
      </c>
      <c r="D12" s="2">
        <v>131151.13</v>
      </c>
      <c r="E12" s="2">
        <v>2558539.85</v>
      </c>
      <c r="F12" s="2">
        <v>0</v>
      </c>
    </row>
    <row r="13" spans="1:6" x14ac:dyDescent="0.25">
      <c r="A13" s="4">
        <v>46079</v>
      </c>
      <c r="B13" s="1">
        <v>4</v>
      </c>
      <c r="C13" s="2">
        <v>10569.17</v>
      </c>
      <c r="D13" s="2">
        <v>304.44000000000011</v>
      </c>
      <c r="E13" s="2">
        <v>10264.73</v>
      </c>
      <c r="F13" s="2">
        <v>0</v>
      </c>
    </row>
    <row r="14" spans="1:6" x14ac:dyDescent="0.25">
      <c r="A14" s="4">
        <v>46080</v>
      </c>
      <c r="B14" s="1">
        <v>3</v>
      </c>
      <c r="C14" s="2">
        <v>1652214.5</v>
      </c>
      <c r="D14" s="2">
        <v>1630899.5</v>
      </c>
      <c r="E14" s="2">
        <v>21315</v>
      </c>
      <c r="F14" s="2">
        <v>0</v>
      </c>
    </row>
    <row r="15" spans="1:6" x14ac:dyDescent="0.25">
      <c r="A15" s="4">
        <v>46085</v>
      </c>
      <c r="B15" s="1">
        <v>291</v>
      </c>
      <c r="C15" s="2">
        <v>5583894.9100000001</v>
      </c>
      <c r="D15" s="2">
        <v>5071978.6399999997</v>
      </c>
      <c r="E15" s="2">
        <v>511916.27</v>
      </c>
      <c r="F15" s="2">
        <v>0</v>
      </c>
    </row>
    <row r="16" spans="1:6" x14ac:dyDescent="0.25">
      <c r="A16" s="4">
        <v>46086</v>
      </c>
      <c r="B16" s="1">
        <v>186</v>
      </c>
      <c r="C16" s="2">
        <v>12066206.800000001</v>
      </c>
      <c r="D16" s="2">
        <v>9127451.4900000002</v>
      </c>
      <c r="E16" s="2">
        <v>370184.75</v>
      </c>
      <c r="F16" s="2">
        <v>2568570.56</v>
      </c>
    </row>
    <row r="17" spans="1:6" x14ac:dyDescent="0.25">
      <c r="A17" s="4">
        <v>46092</v>
      </c>
      <c r="B17" s="1">
        <v>258</v>
      </c>
      <c r="C17" s="2">
        <v>17577927.82</v>
      </c>
      <c r="D17" s="2">
        <v>13372790.119999999</v>
      </c>
      <c r="E17" s="2">
        <v>1198503.18</v>
      </c>
      <c r="F17" s="2">
        <v>3006634.52</v>
      </c>
    </row>
    <row r="18" spans="1:6" x14ac:dyDescent="0.25">
      <c r="A18" s="4">
        <v>46094</v>
      </c>
      <c r="B18" s="1">
        <v>1</v>
      </c>
      <c r="C18" s="2">
        <v>3098.24</v>
      </c>
      <c r="D18" s="2">
        <v>3098.24</v>
      </c>
      <c r="E18" s="2">
        <v>0</v>
      </c>
      <c r="F18" s="2">
        <v>0</v>
      </c>
    </row>
    <row r="19" spans="1:6" x14ac:dyDescent="0.25">
      <c r="A19" s="4">
        <v>46097</v>
      </c>
      <c r="B19" s="1">
        <v>2</v>
      </c>
      <c r="C19" s="2">
        <v>135.08000000000001</v>
      </c>
      <c r="D19" s="2">
        <v>135.08000000000001</v>
      </c>
      <c r="E19" s="2">
        <v>0</v>
      </c>
      <c r="F19" s="2">
        <v>0</v>
      </c>
    </row>
    <row r="20" spans="1:6" x14ac:dyDescent="0.25">
      <c r="A20" s="4">
        <v>46100</v>
      </c>
      <c r="B20" s="1">
        <v>294</v>
      </c>
      <c r="C20" s="2">
        <v>12129575.1</v>
      </c>
      <c r="D20" s="2">
        <v>5165991.8600000003</v>
      </c>
      <c r="E20" s="2">
        <v>3666046.35</v>
      </c>
      <c r="F20" s="2">
        <v>3297536.89</v>
      </c>
    </row>
    <row r="21" spans="1:6" x14ac:dyDescent="0.25">
      <c r="A21" s="4">
        <v>46104</v>
      </c>
      <c r="B21" s="1">
        <v>34</v>
      </c>
      <c r="C21" s="2">
        <v>1992896.47</v>
      </c>
      <c r="D21" s="2">
        <v>1992896.47</v>
      </c>
      <c r="E21" s="2">
        <v>0</v>
      </c>
      <c r="F21" s="2">
        <v>0</v>
      </c>
    </row>
    <row r="22" spans="1:6" x14ac:dyDescent="0.25">
      <c r="A22" s="4">
        <v>46106</v>
      </c>
      <c r="B22" s="1">
        <v>244</v>
      </c>
      <c r="C22" s="2">
        <v>8356578.3200000003</v>
      </c>
      <c r="D22" s="2">
        <v>7521614.0599999996</v>
      </c>
      <c r="E22" s="2">
        <v>93887.46</v>
      </c>
      <c r="F22" s="2">
        <v>741076.79999999993</v>
      </c>
    </row>
    <row r="23" spans="1:6" x14ac:dyDescent="0.25">
      <c r="A23" s="4">
        <v>46107</v>
      </c>
      <c r="B23" s="1">
        <v>2</v>
      </c>
      <c r="C23" s="2">
        <v>7220</v>
      </c>
      <c r="D23" s="2">
        <v>6500</v>
      </c>
      <c r="E23" s="2">
        <v>720</v>
      </c>
      <c r="F23" s="2">
        <v>0</v>
      </c>
    </row>
    <row r="24" spans="1:6" x14ac:dyDescent="0.25">
      <c r="A24" s="4">
        <v>46108</v>
      </c>
      <c r="B24" s="1">
        <v>4</v>
      </c>
      <c r="C24" s="2">
        <v>89358.81</v>
      </c>
      <c r="D24" s="2">
        <v>70219.8</v>
      </c>
      <c r="E24" s="2">
        <v>19139.009999999998</v>
      </c>
      <c r="F24" s="2">
        <v>0</v>
      </c>
    </row>
    <row r="25" spans="1:6" x14ac:dyDescent="0.25">
      <c r="A25" s="4">
        <v>46111</v>
      </c>
      <c r="B25" s="1">
        <v>1</v>
      </c>
      <c r="C25" s="2">
        <v>12129.28</v>
      </c>
      <c r="D25" s="2">
        <v>0</v>
      </c>
      <c r="E25" s="2">
        <v>12129.28</v>
      </c>
      <c r="F25" s="2">
        <v>0</v>
      </c>
    </row>
    <row r="26" spans="1:6" x14ac:dyDescent="0.25">
      <c r="A26" s="4">
        <v>46112</v>
      </c>
      <c r="B26" s="1">
        <v>8</v>
      </c>
      <c r="C26" s="2">
        <v>1808677.25</v>
      </c>
      <c r="D26" s="2">
        <v>1800659.45</v>
      </c>
      <c r="E26" s="2">
        <v>8017.8</v>
      </c>
      <c r="F26" s="2">
        <v>0</v>
      </c>
    </row>
    <row r="27" spans="1:6" x14ac:dyDescent="0.25">
      <c r="A27" s="4">
        <v>46113</v>
      </c>
      <c r="B27" s="1">
        <v>81</v>
      </c>
      <c r="C27" s="2">
        <v>1834351.75</v>
      </c>
      <c r="D27" s="2">
        <v>443429.45</v>
      </c>
      <c r="E27" s="2">
        <v>23533.86</v>
      </c>
      <c r="F27" s="2">
        <v>1367388.44</v>
      </c>
    </row>
    <row r="28" spans="1:6" x14ac:dyDescent="0.25">
      <c r="A28" s="4">
        <v>46114</v>
      </c>
      <c r="B28" s="1">
        <v>429</v>
      </c>
      <c r="C28" s="2">
        <v>20233061</v>
      </c>
      <c r="D28" s="2">
        <v>20233061</v>
      </c>
      <c r="E28" s="2">
        <v>0</v>
      </c>
      <c r="F28" s="2">
        <v>0</v>
      </c>
    </row>
    <row r="29" spans="1:6" x14ac:dyDescent="0.25">
      <c r="A29" s="4">
        <v>46119</v>
      </c>
      <c r="B29" s="1">
        <v>40</v>
      </c>
      <c r="C29" s="2">
        <v>6791545.3600000003</v>
      </c>
      <c r="D29" s="2">
        <v>6791545.3600000003</v>
      </c>
      <c r="E29" s="2">
        <v>0</v>
      </c>
      <c r="F29" s="2">
        <v>0</v>
      </c>
    </row>
    <row r="30" spans="1:6" x14ac:dyDescent="0.25">
      <c r="A30" s="4">
        <v>46120</v>
      </c>
      <c r="B30" s="1">
        <v>11</v>
      </c>
      <c r="C30" s="2">
        <v>1239011.83</v>
      </c>
      <c r="D30" s="2">
        <v>242980.57</v>
      </c>
      <c r="E30" s="2">
        <v>0</v>
      </c>
      <c r="F30" s="2">
        <v>996031.26</v>
      </c>
    </row>
    <row r="31" spans="1:6" x14ac:dyDescent="0.25">
      <c r="A31" s="4">
        <v>46121</v>
      </c>
      <c r="B31" s="1">
        <v>11</v>
      </c>
      <c r="C31" s="2">
        <v>45140</v>
      </c>
      <c r="D31" s="2">
        <v>45140</v>
      </c>
      <c r="E31" s="2">
        <v>0</v>
      </c>
      <c r="F31" s="2">
        <v>0</v>
      </c>
    </row>
    <row r="32" spans="1:6" x14ac:dyDescent="0.25">
      <c r="A32" s="4">
        <v>46126</v>
      </c>
      <c r="B32" s="1">
        <v>193</v>
      </c>
      <c r="C32" s="2">
        <v>9176417.5099999998</v>
      </c>
      <c r="D32" s="2">
        <v>9176417.5099999998</v>
      </c>
      <c r="E32" s="2">
        <v>0</v>
      </c>
      <c r="F32" s="2">
        <v>0</v>
      </c>
    </row>
    <row r="33" spans="1:6" x14ac:dyDescent="0.25">
      <c r="A33" s="4">
        <v>46127</v>
      </c>
      <c r="B33" s="1">
        <v>3</v>
      </c>
      <c r="C33" s="2">
        <v>236263.94</v>
      </c>
      <c r="D33" s="2">
        <v>236263.94</v>
      </c>
      <c r="E33" s="2">
        <v>0</v>
      </c>
      <c r="F33" s="2">
        <v>0</v>
      </c>
    </row>
    <row r="34" spans="1:6" x14ac:dyDescent="0.25">
      <c r="A34" s="4">
        <v>46128</v>
      </c>
      <c r="B34" s="1">
        <v>166</v>
      </c>
      <c r="C34" s="2">
        <v>7084765.4500000002</v>
      </c>
      <c r="D34" s="2">
        <v>7017920.1299999999</v>
      </c>
      <c r="E34" s="2">
        <v>6661.94</v>
      </c>
      <c r="F34" s="2">
        <v>60183.38</v>
      </c>
    </row>
    <row r="35" spans="1:6" x14ac:dyDescent="0.25">
      <c r="A35" s="4">
        <v>46129</v>
      </c>
      <c r="B35" s="1">
        <v>350</v>
      </c>
      <c r="C35" s="2">
        <v>5132182.9800000004</v>
      </c>
      <c r="D35" s="2">
        <v>4231773.7300000004</v>
      </c>
      <c r="E35" s="2">
        <v>408492.29</v>
      </c>
      <c r="F35" s="2">
        <v>491916.96</v>
      </c>
    </row>
    <row r="36" spans="1:6" x14ac:dyDescent="0.25">
      <c r="A36" s="4">
        <v>46134</v>
      </c>
      <c r="B36" s="1">
        <v>83</v>
      </c>
      <c r="C36" s="2">
        <v>832910.75</v>
      </c>
      <c r="D36" s="2">
        <v>832910.75</v>
      </c>
      <c r="E36" s="2">
        <v>0</v>
      </c>
      <c r="F36" s="2">
        <v>0</v>
      </c>
    </row>
    <row r="37" spans="1:6" x14ac:dyDescent="0.25">
      <c r="A37" s="4">
        <v>46135</v>
      </c>
      <c r="B37" s="1">
        <v>1</v>
      </c>
      <c r="C37" s="2">
        <v>2329.6</v>
      </c>
      <c r="D37" s="2">
        <v>2329.6</v>
      </c>
      <c r="E37" s="2">
        <v>0</v>
      </c>
      <c r="F37" s="2">
        <v>0</v>
      </c>
    </row>
    <row r="38" spans="1:6" x14ac:dyDescent="0.25">
      <c r="A38" s="4">
        <v>46136</v>
      </c>
      <c r="B38" s="1">
        <v>95</v>
      </c>
      <c r="C38" s="2">
        <v>6072379.5600000015</v>
      </c>
      <c r="D38" s="2">
        <v>5473296.29</v>
      </c>
      <c r="E38" s="2">
        <v>54125.24</v>
      </c>
      <c r="F38" s="2">
        <v>544958.03</v>
      </c>
    </row>
    <row r="39" spans="1:6" x14ac:dyDescent="0.25">
      <c r="A39" s="4">
        <v>46139</v>
      </c>
      <c r="B39" s="1">
        <v>229</v>
      </c>
      <c r="C39" s="2">
        <v>45700</v>
      </c>
      <c r="D39" s="2">
        <v>45700</v>
      </c>
      <c r="E39" s="2">
        <v>0</v>
      </c>
      <c r="F39" s="2">
        <v>0</v>
      </c>
    </row>
    <row r="40" spans="1:6" x14ac:dyDescent="0.25">
      <c r="A40" s="4">
        <v>46141</v>
      </c>
      <c r="B40" s="1">
        <v>6</v>
      </c>
      <c r="C40" s="2">
        <v>2160</v>
      </c>
      <c r="D40" s="2">
        <v>2160</v>
      </c>
      <c r="E40" s="2">
        <v>0</v>
      </c>
      <c r="F40" s="2">
        <v>0</v>
      </c>
    </row>
    <row r="41" spans="1:6" x14ac:dyDescent="0.25">
      <c r="A41" s="4">
        <v>46142</v>
      </c>
      <c r="B41" s="1">
        <v>57</v>
      </c>
      <c r="C41" s="2">
        <v>8143980.5599999996</v>
      </c>
      <c r="D41" s="2">
        <v>4758373.93</v>
      </c>
      <c r="E41" s="2">
        <v>1520734.59</v>
      </c>
      <c r="F41" s="2">
        <v>1864872.04</v>
      </c>
    </row>
    <row r="42" spans="1:6" x14ac:dyDescent="0.25">
      <c r="A42" s="4">
        <v>46146</v>
      </c>
      <c r="B42" s="1">
        <v>8</v>
      </c>
      <c r="C42" s="2">
        <v>458134.29</v>
      </c>
      <c r="D42" s="2">
        <v>118531.58</v>
      </c>
      <c r="E42" s="2">
        <v>0</v>
      </c>
      <c r="F42" s="2">
        <v>339602.71</v>
      </c>
    </row>
    <row r="43" spans="1:6" x14ac:dyDescent="0.25">
      <c r="A43" s="4">
        <v>46147</v>
      </c>
      <c r="B43" s="1">
        <v>4</v>
      </c>
      <c r="C43" s="2">
        <v>4358813.57</v>
      </c>
      <c r="D43" s="2">
        <v>4358813.57</v>
      </c>
      <c r="E43" s="2">
        <v>0</v>
      </c>
      <c r="F43" s="2">
        <v>0</v>
      </c>
    </row>
    <row r="44" spans="1:6" x14ac:dyDescent="0.25">
      <c r="A44" s="4">
        <v>46148</v>
      </c>
      <c r="B44" s="1">
        <v>281</v>
      </c>
      <c r="C44" s="2">
        <v>13294853.85</v>
      </c>
      <c r="D44" s="2">
        <v>13294853.85</v>
      </c>
      <c r="E44" s="2">
        <v>0</v>
      </c>
      <c r="F44" s="2">
        <v>0</v>
      </c>
    </row>
    <row r="45" spans="1:6" x14ac:dyDescent="0.25">
      <c r="A45" s="4">
        <v>46149</v>
      </c>
      <c r="B45" s="1">
        <v>24</v>
      </c>
      <c r="C45" s="2">
        <v>1593843.73</v>
      </c>
      <c r="D45" s="2">
        <v>1593843.73</v>
      </c>
      <c r="E45" s="2">
        <v>0</v>
      </c>
      <c r="F45" s="2">
        <v>0</v>
      </c>
    </row>
    <row r="46" spans="1:6" x14ac:dyDescent="0.25">
      <c r="A46" s="4">
        <v>46150</v>
      </c>
      <c r="B46" s="1">
        <v>99</v>
      </c>
      <c r="C46" s="2">
        <v>9817208.8300000001</v>
      </c>
      <c r="D46" s="2">
        <v>9817208.8300000001</v>
      </c>
      <c r="E46" s="2">
        <v>0</v>
      </c>
      <c r="F46" s="2">
        <v>0</v>
      </c>
    </row>
    <row r="47" spans="1:6" x14ac:dyDescent="0.25">
      <c r="A47" s="4">
        <v>46153</v>
      </c>
      <c r="B47" s="1">
        <v>3</v>
      </c>
      <c r="C47" s="2">
        <v>6446.5</v>
      </c>
      <c r="D47" s="2">
        <v>6446.5</v>
      </c>
      <c r="E47" s="2">
        <v>0</v>
      </c>
      <c r="F47" s="2">
        <v>0</v>
      </c>
    </row>
    <row r="48" spans="1:6" x14ac:dyDescent="0.25">
      <c r="A48" s="4">
        <v>46154</v>
      </c>
      <c r="B48" s="1">
        <v>1</v>
      </c>
      <c r="C48" s="2">
        <v>2626.05</v>
      </c>
      <c r="D48" s="2">
        <v>2626.05</v>
      </c>
      <c r="E48" s="2">
        <v>0</v>
      </c>
      <c r="F48" s="2">
        <v>0</v>
      </c>
    </row>
    <row r="49" spans="1:6" x14ac:dyDescent="0.25">
      <c r="A49" s="4">
        <v>46156</v>
      </c>
      <c r="B49" s="1">
        <v>470</v>
      </c>
      <c r="C49" s="2">
        <v>7087126.8499999996</v>
      </c>
      <c r="D49" s="2">
        <v>6257103.0499999998</v>
      </c>
      <c r="E49" s="2">
        <v>54900</v>
      </c>
      <c r="F49" s="2">
        <v>775123.8</v>
      </c>
    </row>
    <row r="50" spans="1:6" x14ac:dyDescent="0.25">
      <c r="A50" s="4">
        <v>46157</v>
      </c>
      <c r="B50" s="1">
        <v>3</v>
      </c>
      <c r="C50" s="2">
        <v>141938.5</v>
      </c>
      <c r="D50" s="2">
        <v>141938.5</v>
      </c>
      <c r="E50" s="2">
        <v>0</v>
      </c>
      <c r="F50" s="2">
        <v>0</v>
      </c>
    </row>
    <row r="51" spans="1:6" x14ac:dyDescent="0.25">
      <c r="A51" s="4">
        <v>46161</v>
      </c>
      <c r="B51" s="1">
        <v>152</v>
      </c>
      <c r="C51" s="2">
        <v>2514289.14</v>
      </c>
      <c r="D51" s="2">
        <v>2514289.14</v>
      </c>
      <c r="E51" s="2">
        <v>0</v>
      </c>
      <c r="F51" s="2">
        <v>0</v>
      </c>
    </row>
    <row r="52" spans="1:6" x14ac:dyDescent="0.25">
      <c r="A52" s="4">
        <v>46162</v>
      </c>
      <c r="B52" s="1">
        <v>2</v>
      </c>
      <c r="C52" s="2">
        <v>135.08000000000001</v>
      </c>
      <c r="D52" s="2">
        <v>135.08000000000001</v>
      </c>
      <c r="E52" s="2">
        <v>0</v>
      </c>
      <c r="F52" s="2">
        <v>0</v>
      </c>
    </row>
    <row r="53" spans="1:6" x14ac:dyDescent="0.25">
      <c r="A53" s="4">
        <v>46163</v>
      </c>
      <c r="B53" s="1">
        <v>324</v>
      </c>
      <c r="C53" s="2">
        <v>30368670.649999999</v>
      </c>
      <c r="D53" s="2">
        <v>12317989.859999999</v>
      </c>
      <c r="E53" s="2">
        <v>17255863.949999999</v>
      </c>
      <c r="F53" s="2">
        <v>794816.84</v>
      </c>
    </row>
    <row r="54" spans="1:6" x14ac:dyDescent="0.25">
      <c r="A54" s="4">
        <v>46164</v>
      </c>
      <c r="B54" s="1">
        <v>286</v>
      </c>
      <c r="C54" s="2">
        <v>2785922.28</v>
      </c>
      <c r="D54" s="2">
        <v>2509251.16</v>
      </c>
      <c r="E54" s="2">
        <v>194132.67</v>
      </c>
      <c r="F54" s="2">
        <v>82538.45</v>
      </c>
    </row>
    <row r="55" spans="1:6" x14ac:dyDescent="0.25">
      <c r="A55" s="4">
        <v>46169</v>
      </c>
      <c r="B55" s="1">
        <v>7</v>
      </c>
      <c r="C55" s="2">
        <v>1443903.43</v>
      </c>
      <c r="D55" s="2">
        <v>0</v>
      </c>
      <c r="E55" s="2">
        <v>0</v>
      </c>
      <c r="F55" s="2">
        <v>1443903.43</v>
      </c>
    </row>
    <row r="56" spans="1:6" x14ac:dyDescent="0.25">
      <c r="A56" s="4">
        <v>46170</v>
      </c>
      <c r="B56" s="1">
        <v>11</v>
      </c>
      <c r="C56" s="2">
        <v>1213099.6499999999</v>
      </c>
      <c r="D56" s="2">
        <v>44770.89</v>
      </c>
      <c r="E56" s="2">
        <v>1078182.45</v>
      </c>
      <c r="F56" s="2">
        <v>90146.31</v>
      </c>
    </row>
    <row r="57" spans="1:6" x14ac:dyDescent="0.25">
      <c r="A57" s="4">
        <v>46171</v>
      </c>
      <c r="B57" s="1">
        <v>131</v>
      </c>
      <c r="C57" s="2">
        <v>21284260.559999999</v>
      </c>
      <c r="D57" s="2">
        <v>5105958.95</v>
      </c>
      <c r="E57" s="2">
        <v>863181.7699999999</v>
      </c>
      <c r="F57" s="2">
        <v>15315119.84</v>
      </c>
    </row>
    <row r="58" spans="1:6" x14ac:dyDescent="0.25">
      <c r="A58" s="4">
        <v>46174</v>
      </c>
      <c r="B58" s="1">
        <v>12</v>
      </c>
      <c r="C58" s="2">
        <v>1712697.69</v>
      </c>
      <c r="D58" s="2">
        <v>0</v>
      </c>
      <c r="E58" s="2">
        <v>0</v>
      </c>
      <c r="F58" s="2">
        <v>1712697.69</v>
      </c>
    </row>
    <row r="59" spans="1:6" x14ac:dyDescent="0.25">
      <c r="A59" s="4">
        <v>46177</v>
      </c>
      <c r="B59" s="1">
        <v>384</v>
      </c>
      <c r="C59" s="2">
        <v>24260605.739999998</v>
      </c>
      <c r="D59" s="2">
        <v>24253222.57</v>
      </c>
      <c r="E59" s="2">
        <v>0</v>
      </c>
      <c r="F59" s="2">
        <v>7383.17</v>
      </c>
    </row>
    <row r="60" spans="1:6" x14ac:dyDescent="0.25">
      <c r="A60" s="4">
        <v>46178</v>
      </c>
      <c r="B60" s="1">
        <v>1</v>
      </c>
      <c r="C60" s="2">
        <v>5420</v>
      </c>
      <c r="D60" s="2">
        <v>5420</v>
      </c>
      <c r="E60" s="2">
        <v>0</v>
      </c>
      <c r="F60" s="2">
        <v>0</v>
      </c>
    </row>
    <row r="61" spans="1:6" x14ac:dyDescent="0.25">
      <c r="A61" s="4">
        <v>46181</v>
      </c>
      <c r="B61" s="1">
        <v>2</v>
      </c>
      <c r="C61" s="2">
        <v>7220</v>
      </c>
      <c r="D61" s="2">
        <v>6500</v>
      </c>
      <c r="E61" s="2">
        <v>720</v>
      </c>
      <c r="F61" s="2">
        <v>0</v>
      </c>
    </row>
    <row r="62" spans="1:6" x14ac:dyDescent="0.25">
      <c r="A62" s="4">
        <v>46185</v>
      </c>
      <c r="B62" s="1">
        <v>457</v>
      </c>
      <c r="C62" s="2">
        <v>8421841.6600000001</v>
      </c>
      <c r="D62" s="2">
        <v>7423014.7199999997</v>
      </c>
      <c r="E62" s="2">
        <v>998826.94</v>
      </c>
      <c r="F62" s="2">
        <v>0</v>
      </c>
    </row>
    <row r="63" spans="1:6" x14ac:dyDescent="0.25">
      <c r="A63" s="4">
        <v>46188</v>
      </c>
      <c r="B63" s="1">
        <v>3</v>
      </c>
      <c r="C63" s="2">
        <v>3135.08</v>
      </c>
      <c r="D63" s="2">
        <v>3135.08</v>
      </c>
      <c r="E63" s="2">
        <v>0</v>
      </c>
      <c r="F63" s="2">
        <v>0</v>
      </c>
    </row>
    <row r="64" spans="1:6" x14ac:dyDescent="0.25">
      <c r="A64" s="4">
        <v>46190</v>
      </c>
      <c r="B64" s="1">
        <v>1</v>
      </c>
      <c r="C64" s="2">
        <v>840</v>
      </c>
      <c r="D64" s="2">
        <v>840</v>
      </c>
      <c r="E64" s="2">
        <v>0</v>
      </c>
      <c r="F64" s="2">
        <v>0</v>
      </c>
    </row>
    <row r="65" spans="1:6" x14ac:dyDescent="0.25">
      <c r="A65" s="4">
        <v>46191</v>
      </c>
      <c r="B65" s="1">
        <v>150</v>
      </c>
      <c r="C65" s="2">
        <v>811639.46</v>
      </c>
      <c r="D65" s="2">
        <v>811639.46</v>
      </c>
      <c r="E65" s="2">
        <v>0</v>
      </c>
      <c r="F65" s="2">
        <v>0</v>
      </c>
    </row>
    <row r="66" spans="1:6" x14ac:dyDescent="0.25">
      <c r="A66" s="4">
        <v>46192</v>
      </c>
      <c r="B66" s="1">
        <v>312</v>
      </c>
      <c r="C66" s="2">
        <v>8352117.0199999996</v>
      </c>
      <c r="D66" s="2">
        <v>8118408.2699999996</v>
      </c>
      <c r="E66" s="2">
        <v>26098.94</v>
      </c>
      <c r="F66" s="2">
        <v>207609.81</v>
      </c>
    </row>
    <row r="67" spans="1:6" x14ac:dyDescent="0.25">
      <c r="A67" s="4">
        <v>46198</v>
      </c>
      <c r="B67" s="1">
        <v>13</v>
      </c>
      <c r="C67" s="2">
        <v>495408.73</v>
      </c>
      <c r="D67" s="2">
        <v>495408.73</v>
      </c>
      <c r="E67" s="2">
        <v>0</v>
      </c>
      <c r="F67" s="2">
        <v>0</v>
      </c>
    </row>
    <row r="68" spans="1:6" x14ac:dyDescent="0.25">
      <c r="A68" s="4">
        <v>46199</v>
      </c>
      <c r="B68" s="1">
        <v>90</v>
      </c>
      <c r="C68" s="2">
        <v>7114868.7000000002</v>
      </c>
      <c r="D68" s="2">
        <v>5141617.29</v>
      </c>
      <c r="E68" s="2">
        <v>730003.38</v>
      </c>
      <c r="F68" s="2">
        <v>1243248.03</v>
      </c>
    </row>
    <row r="69" spans="1:6" x14ac:dyDescent="0.25">
      <c r="A69" s="4">
        <v>46202</v>
      </c>
      <c r="B69" s="1">
        <v>2</v>
      </c>
      <c r="C69" s="2">
        <v>1183181.74</v>
      </c>
      <c r="D69" s="2">
        <v>1183181.74</v>
      </c>
      <c r="E69" s="2">
        <v>0</v>
      </c>
      <c r="F69" s="2">
        <v>0</v>
      </c>
    </row>
    <row r="70" spans="1:6" x14ac:dyDescent="0.25">
      <c r="A70" s="4">
        <v>46203</v>
      </c>
      <c r="B70" s="1">
        <v>19</v>
      </c>
      <c r="C70" s="2">
        <v>4097310.98</v>
      </c>
      <c r="D70" s="2">
        <v>3475686.97</v>
      </c>
      <c r="E70" s="2">
        <v>0</v>
      </c>
      <c r="F70" s="2">
        <v>621624.01</v>
      </c>
    </row>
    <row r="71" spans="1:6" x14ac:dyDescent="0.25">
      <c r="A71" s="4">
        <v>46205</v>
      </c>
      <c r="B71" s="1">
        <v>203</v>
      </c>
      <c r="C71" s="2">
        <v>3282157.15</v>
      </c>
      <c r="D71" s="2">
        <v>2538237.37</v>
      </c>
      <c r="E71" s="2">
        <v>728361.98</v>
      </c>
      <c r="F71" s="2">
        <v>15557.8</v>
      </c>
    </row>
    <row r="72" spans="1:6" x14ac:dyDescent="0.25">
      <c r="A72" s="4">
        <v>46206</v>
      </c>
      <c r="B72" s="1">
        <v>418</v>
      </c>
      <c r="C72" s="2">
        <v>12203392.23</v>
      </c>
      <c r="D72" s="2">
        <v>12203392.23</v>
      </c>
      <c r="E72" s="2">
        <v>0</v>
      </c>
      <c r="F72" s="2">
        <v>0</v>
      </c>
    </row>
    <row r="73" spans="1:6" x14ac:dyDescent="0.25">
      <c r="A73" s="4">
        <v>46210</v>
      </c>
      <c r="B73" s="1">
        <v>149</v>
      </c>
      <c r="C73" s="2">
        <v>3604639.3</v>
      </c>
      <c r="D73" s="2">
        <v>3475329.85</v>
      </c>
      <c r="E73" s="2">
        <v>0</v>
      </c>
      <c r="F73" s="2">
        <v>129309.45</v>
      </c>
    </row>
    <row r="74" spans="1:6" x14ac:dyDescent="0.25">
      <c r="A74" s="4">
        <v>46212</v>
      </c>
      <c r="B74" s="1">
        <v>87</v>
      </c>
      <c r="C74" s="2">
        <v>2273916.65</v>
      </c>
      <c r="D74" s="2">
        <v>1981980.4</v>
      </c>
      <c r="E74" s="2">
        <v>84478.67</v>
      </c>
      <c r="F74" s="2">
        <v>207457.58</v>
      </c>
    </row>
    <row r="75" spans="1:6" x14ac:dyDescent="0.25">
      <c r="A75" s="4">
        <v>46213</v>
      </c>
      <c r="B75" s="1">
        <v>34</v>
      </c>
      <c r="C75" s="2">
        <v>3537174.83</v>
      </c>
      <c r="D75" s="2">
        <v>3537174.83</v>
      </c>
      <c r="E75" s="2">
        <v>0</v>
      </c>
      <c r="F75" s="2">
        <v>0</v>
      </c>
    </row>
    <row r="76" spans="1:6" x14ac:dyDescent="0.25">
      <c r="A76" s="4">
        <v>46217</v>
      </c>
      <c r="B76" s="1">
        <v>66</v>
      </c>
      <c r="C76" s="2">
        <v>6394125.7699999996</v>
      </c>
      <c r="D76" s="2">
        <v>6394125.7699999996</v>
      </c>
      <c r="E76" s="2">
        <v>0</v>
      </c>
      <c r="F76" s="2">
        <v>0</v>
      </c>
    </row>
    <row r="77" spans="1:6" x14ac:dyDescent="0.25">
      <c r="A77" s="4">
        <v>46223</v>
      </c>
      <c r="B77" s="1">
        <v>816</v>
      </c>
      <c r="C77" s="2">
        <v>14105634.76</v>
      </c>
      <c r="D77" s="2">
        <v>6362801.1600000001</v>
      </c>
      <c r="E77" s="2">
        <v>1011156.6</v>
      </c>
      <c r="F77" s="2">
        <v>6731677</v>
      </c>
    </row>
    <row r="78" spans="1:6" x14ac:dyDescent="0.25">
      <c r="A78" s="4">
        <v>46224</v>
      </c>
      <c r="B78" s="1">
        <v>41</v>
      </c>
      <c r="C78" s="2">
        <v>3739940.27</v>
      </c>
      <c r="D78" s="2">
        <v>26114.46</v>
      </c>
      <c r="E78" s="2">
        <v>0</v>
      </c>
      <c r="F78" s="2">
        <v>3713825.81</v>
      </c>
    </row>
    <row r="79" spans="1:6" x14ac:dyDescent="0.25">
      <c r="A79" s="4">
        <v>46226</v>
      </c>
      <c r="B79" s="1">
        <v>240</v>
      </c>
      <c r="C79" s="2">
        <v>9760443.0500000007</v>
      </c>
      <c r="D79" s="2">
        <v>7168534.8300000001</v>
      </c>
      <c r="E79" s="2">
        <v>397617.77</v>
      </c>
      <c r="F79" s="2">
        <v>2194290.4500000002</v>
      </c>
    </row>
    <row r="80" spans="1:6" x14ac:dyDescent="0.25">
      <c r="A80" s="4">
        <v>46227</v>
      </c>
      <c r="B80" s="1">
        <v>2</v>
      </c>
      <c r="C80" s="2">
        <v>266885.08</v>
      </c>
      <c r="D80" s="2">
        <v>266885.08</v>
      </c>
      <c r="E80" s="2">
        <v>0</v>
      </c>
      <c r="F80" s="2">
        <v>0</v>
      </c>
    </row>
    <row r="81" spans="1:6" x14ac:dyDescent="0.25">
      <c r="A81" s="4">
        <v>46230</v>
      </c>
      <c r="B81" s="1">
        <v>1</v>
      </c>
      <c r="C81" s="2">
        <v>3000</v>
      </c>
      <c r="D81" s="2">
        <v>3000</v>
      </c>
      <c r="E81" s="2">
        <v>0</v>
      </c>
      <c r="F81" s="2">
        <v>0</v>
      </c>
    </row>
    <row r="82" spans="1:6" x14ac:dyDescent="0.25">
      <c r="A82" s="4">
        <v>46231</v>
      </c>
      <c r="B82" s="1">
        <v>70</v>
      </c>
      <c r="C82" s="2">
        <v>2228711.4700000002</v>
      </c>
      <c r="D82" s="2">
        <v>2209691.96</v>
      </c>
      <c r="E82" s="2">
        <v>0</v>
      </c>
      <c r="F82" s="2">
        <v>19019.509999999998</v>
      </c>
    </row>
    <row r="83" spans="1:6" x14ac:dyDescent="0.25">
      <c r="A83" s="4">
        <v>46233</v>
      </c>
      <c r="B83" s="1">
        <v>90</v>
      </c>
      <c r="C83" s="2">
        <v>7135468.3499999996</v>
      </c>
      <c r="D83" s="2">
        <v>4918420.32</v>
      </c>
      <c r="E83" s="2">
        <v>0</v>
      </c>
      <c r="F83" s="2">
        <v>2217048.0299999998</v>
      </c>
    </row>
    <row r="84" spans="1:6" x14ac:dyDescent="0.25">
      <c r="A84" s="4">
        <v>46234</v>
      </c>
      <c r="B84" s="1">
        <v>9</v>
      </c>
      <c r="C84" s="2">
        <v>1204946.6000000001</v>
      </c>
      <c r="D84" s="2">
        <v>1204946.6000000001</v>
      </c>
      <c r="E84" s="2">
        <v>0</v>
      </c>
      <c r="F84" s="2">
        <v>0</v>
      </c>
    </row>
    <row r="85" spans="1:6" x14ac:dyDescent="0.25">
      <c r="A85" s="4">
        <v>46237</v>
      </c>
      <c r="B85" s="1">
        <v>2</v>
      </c>
      <c r="C85" s="2">
        <v>269808.98</v>
      </c>
      <c r="D85" s="2">
        <v>269808.98</v>
      </c>
      <c r="E85" s="2">
        <v>0</v>
      </c>
      <c r="F85" s="2">
        <v>0</v>
      </c>
    </row>
    <row r="86" spans="1:6" x14ac:dyDescent="0.25">
      <c r="A86" s="4">
        <v>46239</v>
      </c>
      <c r="B86" s="1">
        <v>283</v>
      </c>
      <c r="C86" s="2">
        <v>15903811.77</v>
      </c>
      <c r="D86" s="2">
        <v>15903811.77</v>
      </c>
      <c r="E86" s="2">
        <v>0</v>
      </c>
      <c r="F86" s="2">
        <v>0</v>
      </c>
    </row>
    <row r="87" spans="1:6" x14ac:dyDescent="0.25">
      <c r="A87" s="4">
        <v>46240</v>
      </c>
      <c r="B87" s="1">
        <v>89</v>
      </c>
      <c r="C87" s="2">
        <v>9818691.1300000008</v>
      </c>
      <c r="D87" s="2">
        <v>9818691.1300000008</v>
      </c>
      <c r="E87" s="2">
        <v>0</v>
      </c>
      <c r="F87" s="2">
        <v>0</v>
      </c>
    </row>
    <row r="88" spans="1:6" x14ac:dyDescent="0.25">
      <c r="A88" s="4">
        <v>46241</v>
      </c>
      <c r="B88" s="1">
        <v>3</v>
      </c>
      <c r="C88" s="2">
        <v>20202.62</v>
      </c>
      <c r="D88" s="2">
        <v>20202.62</v>
      </c>
      <c r="E88" s="2">
        <v>0</v>
      </c>
      <c r="F88" s="2">
        <v>0</v>
      </c>
    </row>
    <row r="89" spans="1:6" x14ac:dyDescent="0.25">
      <c r="A89" s="4">
        <v>46245</v>
      </c>
      <c r="B89" s="1">
        <v>1</v>
      </c>
      <c r="C89" s="2">
        <v>3138.59</v>
      </c>
      <c r="D89" s="2">
        <v>3138.59</v>
      </c>
      <c r="E89" s="2">
        <v>0</v>
      </c>
      <c r="F89" s="2">
        <v>0</v>
      </c>
    </row>
    <row r="90" spans="1:6" x14ac:dyDescent="0.25">
      <c r="A90" s="4">
        <v>46247</v>
      </c>
      <c r="B90" s="1">
        <v>535</v>
      </c>
      <c r="C90" s="2">
        <v>11605980.35</v>
      </c>
      <c r="D90" s="2">
        <v>11574257.27</v>
      </c>
      <c r="E90" s="2">
        <v>31723.08</v>
      </c>
      <c r="F90" s="2">
        <v>0</v>
      </c>
    </row>
    <row r="91" spans="1:6" x14ac:dyDescent="0.25">
      <c r="A91" s="4">
        <v>46253</v>
      </c>
      <c r="B91" s="1">
        <v>680</v>
      </c>
      <c r="C91" s="2">
        <v>24802186.710000001</v>
      </c>
      <c r="D91" s="2">
        <v>10767607.689999999</v>
      </c>
      <c r="E91" s="2">
        <v>828178.87</v>
      </c>
      <c r="F91" s="2">
        <v>13206400.15</v>
      </c>
    </row>
    <row r="92" spans="1:6" x14ac:dyDescent="0.25">
      <c r="A92" s="4">
        <v>46255</v>
      </c>
      <c r="B92" s="1">
        <v>25</v>
      </c>
      <c r="C92" s="2">
        <v>1489391.61</v>
      </c>
      <c r="D92" s="2">
        <v>1489391.61</v>
      </c>
      <c r="E92" s="2">
        <v>0</v>
      </c>
      <c r="F92" s="2">
        <v>0</v>
      </c>
    </row>
    <row r="93" spans="1:6" x14ac:dyDescent="0.25">
      <c r="A93" s="4">
        <v>46258</v>
      </c>
      <c r="B93" s="1">
        <v>2</v>
      </c>
      <c r="C93" s="2">
        <v>1100</v>
      </c>
      <c r="D93" s="2">
        <v>1100</v>
      </c>
      <c r="E93" s="2">
        <v>0</v>
      </c>
      <c r="F93" s="2">
        <v>0</v>
      </c>
    </row>
    <row r="94" spans="1:6" x14ac:dyDescent="0.25">
      <c r="A94" s="4">
        <v>46259</v>
      </c>
      <c r="B94" s="1">
        <v>2</v>
      </c>
      <c r="C94" s="2">
        <v>38278.019999999997</v>
      </c>
      <c r="D94" s="2">
        <v>38278.019999999997</v>
      </c>
      <c r="E94" s="2">
        <v>0</v>
      </c>
      <c r="F94" s="2">
        <v>0</v>
      </c>
    </row>
    <row r="95" spans="1:6" x14ac:dyDescent="0.25">
      <c r="A95" s="4">
        <v>46261</v>
      </c>
      <c r="B95" s="1">
        <v>90</v>
      </c>
      <c r="C95" s="2">
        <v>6171774.8499999996</v>
      </c>
      <c r="D95" s="2">
        <v>3510839.36</v>
      </c>
      <c r="E95" s="2">
        <v>595006.13</v>
      </c>
      <c r="F95" s="2">
        <v>2065929.36</v>
      </c>
    </row>
    <row r="96" spans="1:6" x14ac:dyDescent="0.25">
      <c r="A96" s="4">
        <v>46262</v>
      </c>
      <c r="B96" s="1">
        <v>56</v>
      </c>
      <c r="C96" s="2">
        <v>181635.08</v>
      </c>
      <c r="D96" s="2">
        <v>112230.78</v>
      </c>
      <c r="E96" s="2">
        <v>6229.87</v>
      </c>
      <c r="F96" s="2">
        <v>63174.43</v>
      </c>
    </row>
    <row r="97" spans="1:6" x14ac:dyDescent="0.25">
      <c r="A97" s="4">
        <v>46265</v>
      </c>
      <c r="B97" s="1">
        <v>3</v>
      </c>
      <c r="C97" s="2">
        <v>1398484.42</v>
      </c>
      <c r="D97" s="2">
        <v>1398484.42</v>
      </c>
      <c r="E97" s="2">
        <v>0</v>
      </c>
      <c r="F97" s="2">
        <v>0</v>
      </c>
    </row>
    <row r="98" spans="1:6" x14ac:dyDescent="0.25">
      <c r="A98" s="4">
        <v>46267</v>
      </c>
      <c r="B98" s="1">
        <v>23</v>
      </c>
      <c r="C98" s="2">
        <v>11924611.24</v>
      </c>
      <c r="D98" s="2">
        <v>11924611.24</v>
      </c>
      <c r="E98" s="2">
        <v>0</v>
      </c>
      <c r="F98" s="2">
        <v>0</v>
      </c>
    </row>
    <row r="99" spans="1:6" x14ac:dyDescent="0.25">
      <c r="A99" s="4">
        <v>46268</v>
      </c>
      <c r="B99" s="1">
        <v>451</v>
      </c>
      <c r="C99" s="2">
        <v>5630615.9199999999</v>
      </c>
      <c r="D99" s="2">
        <v>5630615.9199999999</v>
      </c>
      <c r="E99" s="2">
        <v>0</v>
      </c>
      <c r="F99" s="2">
        <v>0</v>
      </c>
    </row>
    <row r="100" spans="1:6" x14ac:dyDescent="0.25">
      <c r="A100" s="4">
        <v>46269</v>
      </c>
      <c r="B100" s="1">
        <v>11</v>
      </c>
      <c r="C100" s="2">
        <v>156019.13</v>
      </c>
      <c r="D100" s="2">
        <v>156019.13</v>
      </c>
      <c r="E100" s="2">
        <v>0</v>
      </c>
      <c r="F100" s="2">
        <v>0</v>
      </c>
    </row>
    <row r="101" spans="1:6" x14ac:dyDescent="0.25">
      <c r="A101" s="4">
        <v>46273</v>
      </c>
      <c r="B101" s="1">
        <v>1</v>
      </c>
      <c r="C101" s="2">
        <v>2240.0100000000002</v>
      </c>
      <c r="D101" s="2">
        <v>2240.0100000000002</v>
      </c>
      <c r="E101" s="2">
        <v>0</v>
      </c>
      <c r="F101" s="2">
        <v>0</v>
      </c>
    </row>
    <row r="102" spans="1:6" x14ac:dyDescent="0.25">
      <c r="A102" s="4">
        <v>46274</v>
      </c>
      <c r="B102" s="1">
        <v>90</v>
      </c>
      <c r="C102" s="2">
        <v>9884330.5800000001</v>
      </c>
      <c r="D102" s="2">
        <v>9884330.5800000001</v>
      </c>
      <c r="E102" s="2">
        <v>0</v>
      </c>
      <c r="F102" s="2">
        <v>0</v>
      </c>
    </row>
    <row r="103" spans="1:6" x14ac:dyDescent="0.25">
      <c r="A103" s="4">
        <v>46275</v>
      </c>
      <c r="B103" s="1">
        <v>93</v>
      </c>
      <c r="C103" s="2">
        <v>3973242.06</v>
      </c>
      <c r="D103" s="2">
        <v>3376948.85</v>
      </c>
      <c r="E103" s="2">
        <v>42811.539999999994</v>
      </c>
      <c r="F103" s="2">
        <v>553481.66999999993</v>
      </c>
    </row>
    <row r="104" spans="1:6" x14ac:dyDescent="0.25">
      <c r="A104" s="5" t="s">
        <v>8</v>
      </c>
      <c r="B104" s="6">
        <f>SUM(B4:B103)</f>
        <v>11800</v>
      </c>
      <c r="C104" s="7">
        <f>SUM(C4:C103)</f>
        <v>497519346.12999994</v>
      </c>
      <c r="D104" s="7">
        <f>SUM(D4:D103)</f>
        <v>392314506.08999991</v>
      </c>
      <c r="E104" s="7">
        <f>SUM(E4:E103)</f>
        <v>36514685.829999998</v>
      </c>
      <c r="F104" s="7">
        <f>SUM(F4:F103)</f>
        <v>68690154.210000023</v>
      </c>
    </row>
  </sheetData>
  <autoFilter ref="A3:F103" xr:uid="{00000000-0009-0000-0000-000000000000}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Painel</vt:lpstr>
      <vt:lpstr>Resumo Diário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Brenner Nascimento Silva</dc:creator>
  <cp:lastModifiedBy>Victor Brenner Nascimento Silva</cp:lastModifiedBy>
  <dcterms:created xsi:type="dcterms:W3CDTF">2026-09-14T18:47:53Z</dcterms:created>
  <dcterms:modified xsi:type="dcterms:W3CDTF">2026-09-14T19:05:26Z</dcterms:modified>
</cp:coreProperties>
</file>